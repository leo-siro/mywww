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95H04\Desktop\work\mywww\shift\excel\"/>
    </mc:Choice>
  </mc:AlternateContent>
  <bookViews>
    <workbookView xWindow="0" yWindow="0" windowWidth="21570" windowHeight="7215"/>
  </bookViews>
  <sheets>
    <sheet name="公休表" sheetId="1" r:id="rId1"/>
  </sheets>
  <functionGroups builtInGroupCount="18"/>
  <definedNames>
    <definedName name="_xlnm.Print_Titles" localSheetId="0">公休表!$1:$6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E1" i="1"/>
  <c r="E6" i="1" l="1"/>
  <c r="F5" i="1"/>
  <c r="F6" i="1" s="1"/>
  <c r="G5" i="1" l="1"/>
  <c r="H5" i="1" s="1"/>
  <c r="H6" i="1" s="1"/>
  <c r="I5" i="1" l="1"/>
  <c r="J5" i="1" s="1"/>
  <c r="G6" i="1"/>
  <c r="I6" i="1" l="1"/>
  <c r="J6" i="1"/>
  <c r="K5" i="1"/>
  <c r="K6" i="1" l="1"/>
  <c r="L5" i="1"/>
  <c r="L6" i="1" l="1"/>
  <c r="M5" i="1"/>
  <c r="M6" i="1" l="1"/>
  <c r="N5" i="1"/>
  <c r="N6" i="1" l="1"/>
  <c r="O5" i="1"/>
  <c r="O6" i="1" l="1"/>
  <c r="P5" i="1"/>
  <c r="Q5" i="1" l="1"/>
  <c r="P6" i="1"/>
  <c r="R5" i="1" l="1"/>
  <c r="Q6" i="1"/>
  <c r="R6" i="1" l="1"/>
  <c r="S5" i="1"/>
  <c r="T5" i="1" l="1"/>
  <c r="S6" i="1"/>
  <c r="U5" i="1" l="1"/>
  <c r="T6" i="1"/>
  <c r="V5" i="1" l="1"/>
  <c r="U6" i="1"/>
  <c r="W5" i="1" l="1"/>
  <c r="V6" i="1"/>
  <c r="W6" i="1" l="1"/>
  <c r="X5" i="1"/>
  <c r="X6" i="1" l="1"/>
  <c r="Y5" i="1"/>
  <c r="Y6" i="1" l="1"/>
  <c r="Z5" i="1"/>
  <c r="Z6" i="1" l="1"/>
  <c r="AA5" i="1"/>
  <c r="AA6" i="1" l="1"/>
  <c r="AB5" i="1"/>
  <c r="AC5" i="1" l="1"/>
  <c r="AB6" i="1"/>
  <c r="AD5" i="1" l="1"/>
  <c r="AC6" i="1"/>
  <c r="AD6" i="1" l="1"/>
  <c r="AE5" i="1"/>
  <c r="AF5" i="1" l="1"/>
  <c r="AE6" i="1"/>
  <c r="AG5" i="1" l="1"/>
  <c r="AF6" i="1"/>
  <c r="AH5" i="1" l="1"/>
  <c r="AG6" i="1"/>
  <c r="AH6" i="1" l="1"/>
  <c r="AI5" i="1"/>
  <c r="AI6" i="1" s="1"/>
</calcChain>
</file>

<file path=xl/sharedStrings.xml><?xml version="1.0" encoding="utf-8"?>
<sst xmlns="http://schemas.openxmlformats.org/spreadsheetml/2006/main" count="7" uniqueCount="7">
  <si>
    <t>氏          名</t>
    <rPh sb="0" eb="12">
      <t>シメイ</t>
    </rPh>
    <phoneticPr fontId="2"/>
  </si>
  <si>
    <t>社員番号</t>
    <rPh sb="0" eb="2">
      <t>シャイン</t>
    </rPh>
    <rPh sb="2" eb="4">
      <t>バンゴウ</t>
    </rPh>
    <phoneticPr fontId="2"/>
  </si>
  <si>
    <t>公休数</t>
    <rPh sb="0" eb="2">
      <t>コウキュウ</t>
    </rPh>
    <rPh sb="2" eb="3">
      <t>スウ</t>
    </rPh>
    <phoneticPr fontId="2"/>
  </si>
  <si>
    <t>備考</t>
    <rPh sb="0" eb="2">
      <t>ビコウ</t>
    </rPh>
    <phoneticPr fontId="2"/>
  </si>
  <si>
    <t>(当)10:00
当番数</t>
    <rPh sb="1" eb="2">
      <t>トウ</t>
    </rPh>
    <rPh sb="9" eb="11">
      <t>トウバン</t>
    </rPh>
    <rPh sb="11" eb="12">
      <t>スウ</t>
    </rPh>
    <phoneticPr fontId="3"/>
  </si>
  <si>
    <t>(朝)9:00
当番数</t>
    <rPh sb="1" eb="2">
      <t>アサ</t>
    </rPh>
    <rPh sb="8" eb="10">
      <t>トウバン</t>
    </rPh>
    <rPh sb="10" eb="11">
      <t>スウ</t>
    </rPh>
    <phoneticPr fontId="2"/>
  </si>
  <si>
    <t>情報システム部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</si>
</sst>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"/>
    <numFmt numFmtId="177" formatCode="aaa"/>
    <numFmt numFmtId="178" formatCode="m/d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18"/>
      <name val="ＭＳ Ｐ明朝"/>
      <family val="1"/>
      <charset val="128"/>
    </font>
    <font>
      <sz val="11"/>
      <name val="ＭＳ Ｐ明朝"/>
      <family val="1"/>
      <charset val="128"/>
    </font>
    <font>
      <b/>
      <sz val="10"/>
      <color theme="0"/>
      <name val="ＭＳ Ｐ明朝"/>
      <family val="1"/>
      <charset val="128"/>
    </font>
    <font>
      <b/>
      <u/>
      <sz val="48"/>
      <name val="ＭＳ Ｐ明朝"/>
      <family val="1"/>
      <charset val="128"/>
    </font>
    <font>
      <u/>
      <sz val="18"/>
      <name val="ＭＳ Ｐ明朝"/>
      <family val="1"/>
      <charset val="128"/>
    </font>
    <font>
      <u/>
      <sz val="12"/>
      <name val="ＭＳ Ｐ明朝"/>
      <family val="1"/>
      <charset val="128"/>
    </font>
    <font>
      <u/>
      <sz val="36"/>
      <name val="ＭＳ Ｐ明朝"/>
      <family val="1"/>
      <charset val="128"/>
    </font>
    <font>
      <sz val="16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0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374370555742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3"/>
      </right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4"/>
      </top>
      <bottom/>
      <diagonal/>
    </border>
    <border>
      <left style="thin">
        <color indexed="63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78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left" vertical="center"/>
    </xf>
    <xf numFmtId="176" fontId="12" fillId="2" borderId="1" xfId="0" applyNumberFormat="1" applyFont="1" applyFill="1" applyBorder="1" applyAlignment="1">
      <alignment horizontal="center" vertical="center" shrinkToFit="1"/>
    </xf>
    <xf numFmtId="176" fontId="12" fillId="2" borderId="3" xfId="0" applyNumberFormat="1" applyFont="1" applyFill="1" applyBorder="1" applyAlignment="1">
      <alignment horizontal="center" vertical="center" shrinkToFit="1"/>
    </xf>
    <xf numFmtId="176" fontId="12" fillId="2" borderId="4" xfId="0" applyNumberFormat="1" applyFont="1" applyFill="1" applyBorder="1" applyAlignment="1">
      <alignment horizontal="center" vertical="center" shrinkToFit="1"/>
    </xf>
    <xf numFmtId="177" fontId="12" fillId="2" borderId="8" xfId="0" applyNumberFormat="1" applyFont="1" applyFill="1" applyBorder="1" applyAlignment="1">
      <alignment horizontal="center" vertical="center" shrinkToFit="1"/>
    </xf>
    <xf numFmtId="177" fontId="12" fillId="2" borderId="11" xfId="0" applyNumberFormat="1" applyFont="1" applyFill="1" applyBorder="1" applyAlignment="1">
      <alignment horizontal="center" vertical="center" shrinkToFit="1"/>
    </xf>
    <xf numFmtId="177" fontId="12" fillId="2" borderId="12" xfId="0" applyNumberFormat="1" applyFont="1" applyFill="1" applyBorder="1" applyAlignment="1">
      <alignment horizontal="center" vertical="center" shrinkToFit="1"/>
    </xf>
    <xf numFmtId="0" fontId="0" fillId="3" borderId="10" xfId="0" applyFill="1" applyBorder="1">
      <alignment vertical="center"/>
    </xf>
    <xf numFmtId="0" fontId="0" fillId="3" borderId="4" xfId="0" applyFill="1" applyBorder="1">
      <alignment vertical="center"/>
    </xf>
    <xf numFmtId="0" fontId="13" fillId="3" borderId="3" xfId="0" applyFont="1" applyFill="1" applyBorder="1">
      <alignment vertical="center"/>
    </xf>
    <xf numFmtId="176" fontId="8" fillId="0" borderId="0" xfId="0" applyNumberFormat="1" applyFont="1" applyFill="1" applyBorder="1" applyAlignment="1">
      <alignment vertical="center" wrapText="1"/>
    </xf>
    <xf numFmtId="0" fontId="12" fillId="2" borderId="8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 wrapText="1"/>
    </xf>
    <xf numFmtId="0" fontId="12" fillId="2" borderId="1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5" xfId="0" applyFont="1" applyFill="1" applyBorder="1" applyAlignment="1">
      <alignment horizontal="center" vertical="center" wrapText="1"/>
    </xf>
    <xf numFmtId="176" fontId="8" fillId="0" borderId="0" xfId="0" applyNumberFormat="1" applyFont="1" applyFill="1" applyBorder="1" applyAlignment="1">
      <alignment horizontal="center" vertical="center" wrapText="1"/>
    </xf>
    <xf numFmtId="0" fontId="14" fillId="0" borderId="9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</cellXfs>
  <cellStyles count="1">
    <cellStyle name="標準" xfId="0" builtinId="0"/>
  </cellStyles>
  <dxfs count="1">
    <dxf>
      <font>
        <color rgb="FFFF000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E1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777875</xdr:colOff>
      <xdr:row>0</xdr:row>
      <xdr:rowOff>79375</xdr:rowOff>
    </xdr:from>
    <xdr:to>
      <xdr:col>38</xdr:col>
      <xdr:colOff>2759171</xdr:colOff>
      <xdr:row>3</xdr:row>
      <xdr:rowOff>158783</xdr:rowOff>
    </xdr:to>
    <xdr:grpSp>
      <xdr:nvGrpSpPr>
        <xdr:cNvPr id="2" name="Group 62"/>
        <xdr:cNvGrpSpPr>
          <a:grpSpLocks/>
        </xdr:cNvGrpSpPr>
      </xdr:nvGrpSpPr>
      <xdr:grpSpPr bwMode="auto">
        <a:xfrm>
          <a:off x="20399375" y="79375"/>
          <a:ext cx="4981671" cy="1428783"/>
          <a:chOff x="734" y="55"/>
          <a:chExt cx="228" cy="82"/>
        </a:xfrm>
      </xdr:grpSpPr>
      <xdr:sp macro="" textlink="">
        <xdr:nvSpPr>
          <xdr:cNvPr id="3" name="Text Box 63"/>
          <xdr:cNvSpPr txBox="1">
            <a:spLocks noChangeArrowheads="1"/>
          </xdr:cNvSpPr>
        </xdr:nvSpPr>
        <xdr:spPr bwMode="auto">
          <a:xfrm>
            <a:off x="734" y="57"/>
            <a:ext cx="7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dist" rtl="0">
              <a:defRPr sz="1000"/>
            </a:pPr>
            <a:r>
              <a:rPr lang="ja-JP" altLang="en-US" sz="1600" b="0" i="0" strike="noStrike">
                <a:solidFill>
                  <a:srgbClr val="000000"/>
                </a:solidFill>
                <a:latin typeface="ＭＳ Ｐゴシック"/>
                <a:ea typeface="ＭＳ Ｐゴシック"/>
              </a:rPr>
              <a:t>執行役印</a:t>
            </a:r>
            <a:endParaRPr lang="en-US" altLang="ja-JP" sz="1600" b="0" i="0" strike="noStrike">
              <a:solidFill>
                <a:srgbClr val="000000"/>
              </a:solidFill>
              <a:latin typeface="ＭＳ Ｐゴシック"/>
              <a:ea typeface="ＭＳ Ｐゴシック"/>
            </a:endParaRPr>
          </a:p>
          <a:p>
            <a:pPr algn="dist" rtl="0">
              <a:defRPr sz="1000"/>
            </a:pPr>
            <a:endParaRPr lang="ja-JP" altLang="en-US" sz="800" b="0" i="0" strike="noStrike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" name="Text Box 64"/>
          <xdr:cNvSpPr txBox="1">
            <a:spLocks noChangeArrowheads="1"/>
          </xdr:cNvSpPr>
        </xdr:nvSpPr>
        <xdr:spPr bwMode="auto">
          <a:xfrm>
            <a:off x="810" y="57"/>
            <a:ext cx="73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dist" rtl="0">
              <a:defRPr sz="1000"/>
            </a:pPr>
            <a:r>
              <a:rPr lang="ja-JP" altLang="en-US" sz="1600" b="0" i="0" strike="noStrike">
                <a:solidFill>
                  <a:srgbClr val="000000"/>
                </a:solidFill>
                <a:latin typeface="ＭＳ Ｐゴシック"/>
                <a:ea typeface="ＭＳ Ｐゴシック"/>
              </a:rPr>
              <a:t>部長印</a:t>
            </a:r>
          </a:p>
        </xdr:txBody>
      </xdr:sp>
      <xdr:sp macro="" textlink="">
        <xdr:nvSpPr>
          <xdr:cNvPr id="5" name="Text Box 65"/>
          <xdr:cNvSpPr txBox="1">
            <a:spLocks noChangeArrowheads="1"/>
          </xdr:cNvSpPr>
        </xdr:nvSpPr>
        <xdr:spPr bwMode="auto">
          <a:xfrm>
            <a:off x="886" y="57"/>
            <a:ext cx="7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dist" rtl="0">
              <a:defRPr sz="1000"/>
            </a:pPr>
            <a:r>
              <a:rPr lang="ja-JP" altLang="en-US" sz="1600" b="0" i="0" strike="noStrike">
                <a:solidFill>
                  <a:srgbClr val="000000"/>
                </a:solidFill>
                <a:latin typeface="ＭＳ Ｐゴシック"/>
                <a:ea typeface="ＭＳ Ｐゴシック"/>
              </a:rPr>
              <a:t>担当印</a:t>
            </a:r>
          </a:p>
        </xdr:txBody>
      </xdr:sp>
      <xdr:grpSp>
        <xdr:nvGrpSpPr>
          <xdr:cNvPr id="6" name="Group 66"/>
          <xdr:cNvGrpSpPr>
            <a:grpSpLocks/>
          </xdr:cNvGrpSpPr>
        </xdr:nvGrpSpPr>
        <xdr:grpSpPr bwMode="auto">
          <a:xfrm>
            <a:off x="734" y="55"/>
            <a:ext cx="228" cy="82"/>
            <a:chOff x="734" y="55"/>
            <a:chExt cx="228" cy="82"/>
          </a:xfrm>
        </xdr:grpSpPr>
        <xdr:sp macro="" textlink="">
          <xdr:nvSpPr>
            <xdr:cNvPr id="7" name="Line 67"/>
            <xdr:cNvSpPr>
              <a:spLocks noChangeShapeType="1"/>
            </xdr:cNvSpPr>
          </xdr:nvSpPr>
          <xdr:spPr bwMode="auto">
            <a:xfrm>
              <a:off x="734" y="75"/>
              <a:ext cx="228" cy="0"/>
            </a:xfrm>
            <a:prstGeom prst="line">
              <a:avLst/>
            </a:prstGeom>
            <a:noFill/>
            <a:ln w="9525">
              <a:solidFill>
                <a:srgbClr val="808080"/>
              </a:solidFill>
              <a:round/>
              <a:headEnd/>
              <a:tailEnd/>
            </a:ln>
          </xdr:spPr>
        </xdr:sp>
        <xdr:grpSp>
          <xdr:nvGrpSpPr>
            <xdr:cNvPr id="8" name="Group 68"/>
            <xdr:cNvGrpSpPr>
              <a:grpSpLocks/>
            </xdr:cNvGrpSpPr>
          </xdr:nvGrpSpPr>
          <xdr:grpSpPr bwMode="auto">
            <a:xfrm>
              <a:off x="734" y="55"/>
              <a:ext cx="228" cy="82"/>
              <a:chOff x="190" y="179"/>
              <a:chExt cx="228" cy="87"/>
            </a:xfrm>
          </xdr:grpSpPr>
          <xdr:sp macro="" textlink="">
            <xdr:nvSpPr>
              <xdr:cNvPr id="9" name="Rectangle 69"/>
              <xdr:cNvSpPr>
                <a:spLocks noChangeArrowheads="1"/>
              </xdr:cNvSpPr>
            </xdr:nvSpPr>
            <xdr:spPr bwMode="auto">
              <a:xfrm>
                <a:off x="190" y="180"/>
                <a:ext cx="228" cy="86"/>
              </a:xfrm>
              <a:prstGeom prst="rect">
                <a:avLst/>
              </a:prstGeom>
              <a:noFill/>
              <a:ln w="9525">
                <a:solidFill>
                  <a:srgbClr val="80808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" name="Line 70"/>
              <xdr:cNvSpPr>
                <a:spLocks noChangeShapeType="1"/>
              </xdr:cNvSpPr>
            </xdr:nvSpPr>
            <xdr:spPr bwMode="auto">
              <a:xfrm>
                <a:off x="266" y="179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808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" name="Line 71"/>
              <xdr:cNvSpPr>
                <a:spLocks noChangeShapeType="1"/>
              </xdr:cNvSpPr>
            </xdr:nvSpPr>
            <xdr:spPr bwMode="auto">
              <a:xfrm>
                <a:off x="342" y="180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808080"/>
                </a:solidFill>
                <a:round/>
                <a:headEnd/>
                <a:tailEnd/>
              </a:ln>
            </xdr:spPr>
          </xdr:sp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685800</xdr:colOff>
          <xdr:row>0</xdr:row>
          <xdr:rowOff>209550</xdr:rowOff>
        </xdr:from>
        <xdr:to>
          <xdr:col>4</xdr:col>
          <xdr:colOff>47625</xdr:colOff>
          <xdr:row>0</xdr:row>
          <xdr:rowOff>619125</xdr:rowOff>
        </xdr:to>
        <xdr:sp macro="" textlink="">
          <xdr:nvSpPr>
            <xdr:cNvPr id="1028" name="cbSyozoku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0</xdr:row>
          <xdr:rowOff>200025</xdr:rowOff>
        </xdr:from>
        <xdr:to>
          <xdr:col>2</xdr:col>
          <xdr:colOff>590550</xdr:colOff>
          <xdr:row>1</xdr:row>
          <xdr:rowOff>0</xdr:rowOff>
        </xdr:to>
        <xdr:sp macro="" textlink="">
          <xdr:nvSpPr>
            <xdr:cNvPr id="1029" name="cbYm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Z7"/>
  <sheetViews>
    <sheetView tabSelected="1" topLeftCell="B1" zoomScale="60" zoomScaleNormal="60" workbookViewId="0">
      <pane ySplit="6" topLeftCell="A7" activePane="bottomLeft" state="frozen"/>
      <selection activeCell="B1" sqref="B1"/>
      <selection pane="bottomLeft" activeCell="E5" sqref="E5"/>
    </sheetView>
  </sheetViews>
  <sheetFormatPr defaultRowHeight="18.75" x14ac:dyDescent="0.4"/>
  <cols>
    <col min="1" max="1" width="9" hidden="1" customWidth="1"/>
    <col min="2" max="2" width="16.375" customWidth="1"/>
    <col min="3" max="3" width="20.625" customWidth="1"/>
    <col min="4" max="4" width="13.75" customWidth="1"/>
    <col min="5" max="35" width="6.625" customWidth="1"/>
    <col min="36" max="36" width="11.375" customWidth="1"/>
    <col min="37" max="38" width="13.875" customWidth="1"/>
    <col min="39" max="39" width="37.75" customWidth="1"/>
  </cols>
  <sheetData>
    <row r="1" spans="2:52" ht="50.25" customHeight="1" x14ac:dyDescent="0.4">
      <c r="E1" s="36" t="str">
        <f>"情報システム部　勤務予定表" &amp; DBCS(MONTH(E5)) &amp; "月"</f>
        <v>情報システム部　勤務予定表７月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22"/>
      <c r="AL1" s="22"/>
    </row>
    <row r="2" spans="2:52" s="4" customFormat="1" ht="28.5" customHeight="1" x14ac:dyDescent="0.4">
      <c r="B2" s="5"/>
      <c r="C2" s="25"/>
      <c r="D2" s="25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22"/>
      <c r="AL2" s="22"/>
      <c r="AM2" s="6"/>
      <c r="AS2" s="7"/>
      <c r="AZ2" s="3"/>
    </row>
    <row r="3" spans="2:52" s="4" customFormat="1" ht="27.75" customHeight="1" x14ac:dyDescent="0.4">
      <c r="C3" s="26" t="str">
        <f>"公休数：" &amp; SUM(E4:AI4) &amp; "日"</f>
        <v>公休数：26日</v>
      </c>
      <c r="D3" s="2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22"/>
      <c r="AL3" s="22"/>
      <c r="AM3" s="8"/>
      <c r="AS3" s="7"/>
      <c r="AZ3" s="3"/>
    </row>
    <row r="4" spans="2:52" s="4" customFormat="1" ht="21" customHeight="1" x14ac:dyDescent="0.4">
      <c r="C4" s="9"/>
      <c r="D4" s="10"/>
      <c r="E4" s="37">
        <v>1</v>
      </c>
      <c r="F4" s="38">
        <v>1</v>
      </c>
      <c r="G4" s="39"/>
      <c r="H4" s="37">
        <v>1</v>
      </c>
      <c r="I4" s="37">
        <v>1</v>
      </c>
      <c r="J4" s="37">
        <v>1</v>
      </c>
      <c r="K4" s="37">
        <v>1</v>
      </c>
      <c r="L4" s="37">
        <v>1</v>
      </c>
      <c r="M4" s="37">
        <v>1</v>
      </c>
      <c r="N4" s="37"/>
      <c r="O4" s="38">
        <v>1</v>
      </c>
      <c r="P4" s="38">
        <v>1</v>
      </c>
      <c r="Q4" s="38">
        <v>1</v>
      </c>
      <c r="R4" s="38">
        <v>1</v>
      </c>
      <c r="S4" s="38">
        <v>1</v>
      </c>
      <c r="T4" s="37">
        <v>1</v>
      </c>
      <c r="U4" s="37"/>
      <c r="V4" s="37">
        <v>1</v>
      </c>
      <c r="W4" s="37">
        <v>1</v>
      </c>
      <c r="X4" s="37">
        <v>1</v>
      </c>
      <c r="Y4" s="37">
        <v>1</v>
      </c>
      <c r="Z4" s="37">
        <v>1</v>
      </c>
      <c r="AA4" s="37">
        <v>1</v>
      </c>
      <c r="AB4" s="37">
        <v>1</v>
      </c>
      <c r="AC4" s="37">
        <v>1</v>
      </c>
      <c r="AD4" s="37">
        <v>1</v>
      </c>
      <c r="AE4" s="37">
        <v>1</v>
      </c>
      <c r="AF4" s="37">
        <v>1</v>
      </c>
      <c r="AG4" s="37">
        <v>1</v>
      </c>
      <c r="AH4" s="37"/>
      <c r="AI4" s="37"/>
      <c r="AJ4" s="11"/>
      <c r="AK4" s="11"/>
      <c r="AL4" s="11"/>
      <c r="AM4" s="12"/>
      <c r="AS4" s="7"/>
      <c r="AZ4" s="3"/>
    </row>
    <row r="5" spans="2:52" s="1" customFormat="1" ht="26.25" customHeight="1" x14ac:dyDescent="0.4">
      <c r="B5" s="27" t="s">
        <v>0</v>
      </c>
      <c r="C5" s="27"/>
      <c r="D5" s="28" t="s">
        <v>1</v>
      </c>
      <c r="E5" s="13">
        <v>44013</v>
      </c>
      <c r="F5" s="13">
        <f t="shared" ref="F5:AH5" si="0">IF(ISERROR(IF(DAY(E5)&gt;DAY(E5+1),"",E5+1)),"",IF(DAY(E5)&gt;DAY(E5+1),"",E5+1))</f>
        <v>44014</v>
      </c>
      <c r="G5" s="13">
        <f t="shared" si="0"/>
        <v>44015</v>
      </c>
      <c r="H5" s="13">
        <f t="shared" si="0"/>
        <v>44016</v>
      </c>
      <c r="I5" s="13">
        <f t="shared" si="0"/>
        <v>44017</v>
      </c>
      <c r="J5" s="13">
        <f t="shared" si="0"/>
        <v>44018</v>
      </c>
      <c r="K5" s="13">
        <f t="shared" si="0"/>
        <v>44019</v>
      </c>
      <c r="L5" s="13">
        <f t="shared" si="0"/>
        <v>44020</v>
      </c>
      <c r="M5" s="13">
        <f t="shared" si="0"/>
        <v>44021</v>
      </c>
      <c r="N5" s="14">
        <f t="shared" si="0"/>
        <v>44022</v>
      </c>
      <c r="O5" s="13">
        <f t="shared" si="0"/>
        <v>44023</v>
      </c>
      <c r="P5" s="13">
        <f t="shared" si="0"/>
        <v>44024</v>
      </c>
      <c r="Q5" s="13">
        <f t="shared" si="0"/>
        <v>44025</v>
      </c>
      <c r="R5" s="13">
        <f t="shared" si="0"/>
        <v>44026</v>
      </c>
      <c r="S5" s="13">
        <f t="shared" si="0"/>
        <v>44027</v>
      </c>
      <c r="T5" s="15">
        <f t="shared" si="0"/>
        <v>44028</v>
      </c>
      <c r="U5" s="13">
        <f t="shared" si="0"/>
        <v>44029</v>
      </c>
      <c r="V5" s="13">
        <f t="shared" si="0"/>
        <v>44030</v>
      </c>
      <c r="W5" s="13">
        <f t="shared" si="0"/>
        <v>44031</v>
      </c>
      <c r="X5" s="13">
        <f t="shared" si="0"/>
        <v>44032</v>
      </c>
      <c r="Y5" s="13">
        <f t="shared" si="0"/>
        <v>44033</v>
      </c>
      <c r="Z5" s="13">
        <f t="shared" si="0"/>
        <v>44034</v>
      </c>
      <c r="AA5" s="13">
        <f t="shared" si="0"/>
        <v>44035</v>
      </c>
      <c r="AB5" s="13">
        <f t="shared" si="0"/>
        <v>44036</v>
      </c>
      <c r="AC5" s="13">
        <f t="shared" si="0"/>
        <v>44037</v>
      </c>
      <c r="AD5" s="13">
        <f t="shared" si="0"/>
        <v>44038</v>
      </c>
      <c r="AE5" s="13">
        <f t="shared" si="0"/>
        <v>44039</v>
      </c>
      <c r="AF5" s="13">
        <f t="shared" si="0"/>
        <v>44040</v>
      </c>
      <c r="AG5" s="13">
        <f t="shared" si="0"/>
        <v>44041</v>
      </c>
      <c r="AH5" s="13">
        <f t="shared" si="0"/>
        <v>44042</v>
      </c>
      <c r="AI5" s="14">
        <f>IF(ISERROR(IF(DAY(AH5)&gt;DAY(AH5+1),"",AH5+1)),"",IF(DAY(AH5)&gt;DAY(AH5+1),"",AH5+1))</f>
        <v>44043</v>
      </c>
      <c r="AJ5" s="30" t="s">
        <v>2</v>
      </c>
      <c r="AK5" s="32" t="s">
        <v>5</v>
      </c>
      <c r="AL5" s="34" t="s">
        <v>4</v>
      </c>
      <c r="AM5" s="23" t="s">
        <v>3</v>
      </c>
      <c r="AS5" s="2"/>
      <c r="AZ5" s="3"/>
    </row>
    <row r="6" spans="2:52" s="1" customFormat="1" ht="26.25" customHeight="1" x14ac:dyDescent="0.4">
      <c r="B6" s="23"/>
      <c r="C6" s="23"/>
      <c r="D6" s="29"/>
      <c r="E6" s="16">
        <f t="shared" ref="E6:AI6" si="1">IF(ISERROR(WEEKDAY(E5,1)),"",WEEKDAY(E5,1))</f>
        <v>4</v>
      </c>
      <c r="F6" s="16">
        <f t="shared" si="1"/>
        <v>5</v>
      </c>
      <c r="G6" s="16">
        <f t="shared" si="1"/>
        <v>6</v>
      </c>
      <c r="H6" s="16">
        <f t="shared" si="1"/>
        <v>7</v>
      </c>
      <c r="I6" s="16">
        <f t="shared" si="1"/>
        <v>1</v>
      </c>
      <c r="J6" s="16">
        <f t="shared" si="1"/>
        <v>2</v>
      </c>
      <c r="K6" s="16">
        <f t="shared" si="1"/>
        <v>3</v>
      </c>
      <c r="L6" s="16">
        <f t="shared" si="1"/>
        <v>4</v>
      </c>
      <c r="M6" s="16">
        <f t="shared" si="1"/>
        <v>5</v>
      </c>
      <c r="N6" s="17">
        <f t="shared" si="1"/>
        <v>6</v>
      </c>
      <c r="O6" s="16">
        <f t="shared" si="1"/>
        <v>7</v>
      </c>
      <c r="P6" s="16">
        <f t="shared" si="1"/>
        <v>1</v>
      </c>
      <c r="Q6" s="16">
        <f t="shared" si="1"/>
        <v>2</v>
      </c>
      <c r="R6" s="16">
        <f t="shared" si="1"/>
        <v>3</v>
      </c>
      <c r="S6" s="16">
        <f t="shared" si="1"/>
        <v>4</v>
      </c>
      <c r="T6" s="18">
        <f t="shared" si="1"/>
        <v>5</v>
      </c>
      <c r="U6" s="16">
        <f t="shared" si="1"/>
        <v>6</v>
      </c>
      <c r="V6" s="16">
        <f t="shared" si="1"/>
        <v>7</v>
      </c>
      <c r="W6" s="16">
        <f t="shared" si="1"/>
        <v>1</v>
      </c>
      <c r="X6" s="16">
        <f t="shared" si="1"/>
        <v>2</v>
      </c>
      <c r="Y6" s="16">
        <f t="shared" si="1"/>
        <v>3</v>
      </c>
      <c r="Z6" s="16">
        <f t="shared" si="1"/>
        <v>4</v>
      </c>
      <c r="AA6" s="16">
        <f t="shared" si="1"/>
        <v>5</v>
      </c>
      <c r="AB6" s="16">
        <f t="shared" si="1"/>
        <v>6</v>
      </c>
      <c r="AC6" s="16">
        <f t="shared" si="1"/>
        <v>7</v>
      </c>
      <c r="AD6" s="16">
        <f t="shared" si="1"/>
        <v>1</v>
      </c>
      <c r="AE6" s="16">
        <f t="shared" si="1"/>
        <v>2</v>
      </c>
      <c r="AF6" s="16">
        <f t="shared" si="1"/>
        <v>3</v>
      </c>
      <c r="AG6" s="16">
        <f t="shared" si="1"/>
        <v>4</v>
      </c>
      <c r="AH6" s="16">
        <f t="shared" si="1"/>
        <v>5</v>
      </c>
      <c r="AI6" s="17">
        <f t="shared" si="1"/>
        <v>6</v>
      </c>
      <c r="AJ6" s="31"/>
      <c r="AK6" s="33"/>
      <c r="AL6" s="35"/>
      <c r="AM6" s="24"/>
      <c r="AS6" s="2"/>
      <c r="AZ6" s="3"/>
    </row>
    <row r="7" spans="2:52" ht="24.95" customHeight="1" x14ac:dyDescent="0.4">
      <c r="B7" s="21" t="s">
        <v>6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0"/>
    </row>
  </sheetData>
  <mergeCells count="9">
    <mergeCell ref="AM5:AM6"/>
    <mergeCell ref="C2:D2"/>
    <mergeCell ref="C3:D3"/>
    <mergeCell ref="B5:C6"/>
    <mergeCell ref="D5:D6"/>
    <mergeCell ref="AJ5:AJ6"/>
    <mergeCell ref="AK5:AK6"/>
    <mergeCell ref="AL5:AL6"/>
    <mergeCell ref="E1:AJ3"/>
  </mergeCells>
  <phoneticPr fontId="1"/>
  <conditionalFormatting sqref="E6:AI6">
    <cfRule type="cellIs" dxfId="0" priority="1" stopIfTrue="1" operator="equal">
      <formula>"土"</formula>
    </cfRule>
  </conditionalFormatting>
  <pageMargins left="0.39370078740157483" right="0.19685039370078741" top="0.23622047244094491" bottom="0.23622047244094491" header="0" footer="0"/>
  <pageSetup paperSize="9" scale="3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28" r:id="rId4" name="cbSyozoku">
          <controlPr defaultSize="0" print="0" autoLine="0" r:id="rId5">
            <anchor>
              <from>
                <xdr:col>2</xdr:col>
                <xdr:colOff>685800</xdr:colOff>
                <xdr:row>0</xdr:row>
                <xdr:rowOff>209550</xdr:rowOff>
              </from>
              <to>
                <xdr:col>4</xdr:col>
                <xdr:colOff>47625</xdr:colOff>
                <xdr:row>0</xdr:row>
                <xdr:rowOff>619125</xdr:rowOff>
              </to>
            </anchor>
          </controlPr>
        </control>
      </mc:Choice>
      <mc:Fallback>
        <control shapeId="1028" r:id="rId4" name="cbSyozoku"/>
      </mc:Fallback>
    </mc:AlternateContent>
    <mc:AlternateContent xmlns:mc="http://schemas.openxmlformats.org/markup-compatibility/2006">
      <mc:Choice Requires="x14">
        <control shapeId="1029" r:id="rId6" name="cbYm">
          <controlPr defaultSize="0" print="0" autoLine="0" autoPict="0" r:id="rId7">
            <anchor>
              <from>
                <xdr:col>1</xdr:col>
                <xdr:colOff>190500</xdr:colOff>
                <xdr:row>0</xdr:row>
                <xdr:rowOff>200025</xdr:rowOff>
              </from>
              <to>
                <xdr:col>2</xdr:col>
                <xdr:colOff>590550</xdr:colOff>
                <xdr:row>1</xdr:row>
                <xdr:rowOff>0</xdr:rowOff>
              </to>
            </anchor>
          </controlPr>
        </control>
      </mc:Choice>
      <mc:Fallback>
        <control shapeId="1029" r:id="rId6" name="cbY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公休表</vt:lpstr>
      <vt:lpstr>公休表!Print_Titles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PCD0027/95H04</dc:creator>
  <cp:lastModifiedBy>PCD0027/95H04</cp:lastModifiedBy>
  <cp:lastPrinted>2020-06-28T02:37:23Z</cp:lastPrinted>
  <dcterms:created xsi:type="dcterms:W3CDTF">2020-06-24T01:40:19Z</dcterms:created>
  <dcterms:modified xsi:type="dcterms:W3CDTF">2020-06-28T02:40:49Z</dcterms:modified>
</cp:coreProperties>
</file>